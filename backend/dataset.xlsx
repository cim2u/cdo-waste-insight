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350"/>
  </bookViews>
  <sheets>
    <sheet name="BRGY SWM POP. GENERATION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<sst xmlns="http://schemas.openxmlformats.org/spreadsheetml/2006/main" count="90" uniqueCount="90">
  <si>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 xml:space="preserve">Barangay </t>
  </si>
  <si>
    <t>Population (2020 census)</t>
  </si>
  <si>
    <t>Solid Waste Generation per capita (kg/ day)</t>
  </si>
  <si>
    <t>SW generation (Population x SW segregation) kg/day</t>
  </si>
  <si>
    <t>Solid Waste Classification</t>
  </si>
  <si>
    <t>Residual (14%) kg/day</t>
  </si>
  <si>
    <t>Biodegradable (38%) kg/day</t>
  </si>
  <si>
    <t>Recyclable (50%) kg/day</t>
  </si>
  <si>
    <t>Special Waste (5%)</t>
  </si>
  <si>
    <t>Agusan</t>
  </si>
  <si>
    <t xml:space="preserve">Baikingon </t>
  </si>
  <si>
    <t xml:space="preserve">Balubal </t>
  </si>
  <si>
    <t xml:space="preserve">Balulang </t>
  </si>
  <si>
    <t xml:space="preserve">Barangay 1 </t>
  </si>
  <si>
    <t>Barangay 2</t>
  </si>
  <si>
    <t>Barangay 3</t>
  </si>
  <si>
    <t>Barangay 4</t>
  </si>
  <si>
    <t>Barangay 5</t>
  </si>
  <si>
    <t>Barangay 6</t>
  </si>
  <si>
    <t>Barangay 7</t>
  </si>
  <si>
    <t>Barangay 8</t>
  </si>
  <si>
    <t>Barangay 9</t>
  </si>
  <si>
    <t xml:space="preserve">Barangay 10 </t>
  </si>
  <si>
    <t>Barangay 11</t>
  </si>
  <si>
    <t>Barangay 12</t>
  </si>
  <si>
    <t>Barangay 13</t>
  </si>
  <si>
    <t>Barangay 14</t>
  </si>
  <si>
    <t xml:space="preserve">Barangay 15 </t>
  </si>
  <si>
    <t>Barangay 16</t>
  </si>
  <si>
    <t>Barangay 17</t>
  </si>
  <si>
    <t>Barangay 18</t>
  </si>
  <si>
    <t>Barangay 19</t>
  </si>
  <si>
    <t>Barangay 20</t>
  </si>
  <si>
    <t>Barangay 21</t>
  </si>
  <si>
    <t>Barangay 22</t>
  </si>
  <si>
    <t>Barangay 23</t>
  </si>
  <si>
    <t>Barangay 24</t>
  </si>
  <si>
    <t>Barangay 25</t>
  </si>
  <si>
    <t>Barangay 26</t>
  </si>
  <si>
    <t>Barangay 27</t>
  </si>
  <si>
    <t>Barangay 28</t>
  </si>
  <si>
    <t>Barangay 29</t>
  </si>
  <si>
    <t>Barangay 30</t>
  </si>
  <si>
    <t>Barangay 31</t>
  </si>
  <si>
    <t>Barangay 32</t>
  </si>
  <si>
    <t xml:space="preserve">Barangay 33 </t>
  </si>
  <si>
    <t>Barangay 34</t>
  </si>
  <si>
    <t xml:space="preserve">Barangay 35 </t>
  </si>
  <si>
    <t>Barangay 36</t>
  </si>
  <si>
    <t>Barangay 37</t>
  </si>
  <si>
    <t>Barangay 38</t>
  </si>
  <si>
    <t>Barangay 39</t>
  </si>
  <si>
    <t>Barangay 40</t>
  </si>
  <si>
    <t xml:space="preserve">Bayabas </t>
  </si>
  <si>
    <t xml:space="preserve">Bayanga </t>
  </si>
  <si>
    <t xml:space="preserve">Besigan </t>
  </si>
  <si>
    <t xml:space="preserve">Bonbon </t>
  </si>
  <si>
    <t xml:space="preserve">Bugo </t>
  </si>
  <si>
    <t xml:space="preserve">Bulua </t>
  </si>
  <si>
    <t xml:space="preserve">Camaman-an </t>
  </si>
  <si>
    <t>Canitoan</t>
  </si>
  <si>
    <t xml:space="preserve">Carmen </t>
  </si>
  <si>
    <t xml:space="preserve">Consolacion </t>
  </si>
  <si>
    <t>Cugman</t>
  </si>
  <si>
    <t xml:space="preserve">Dansolihon </t>
  </si>
  <si>
    <t xml:space="preserve">F.S Catanico </t>
  </si>
  <si>
    <t>Gusa</t>
  </si>
  <si>
    <t>Indahag</t>
  </si>
  <si>
    <t xml:space="preserve">Iponan </t>
  </si>
  <si>
    <t xml:space="preserve">Kauswagan </t>
  </si>
  <si>
    <t xml:space="preserve">Lapasan </t>
  </si>
  <si>
    <t>Lumbia</t>
  </si>
  <si>
    <t>Macabalan</t>
  </si>
  <si>
    <t xml:space="preserve">Macasandig </t>
  </si>
  <si>
    <t>Mambuaya</t>
  </si>
  <si>
    <t>Nazareth</t>
  </si>
  <si>
    <t>Pagalungan</t>
  </si>
  <si>
    <t>Pagatpat</t>
  </si>
  <si>
    <t>Patag</t>
  </si>
  <si>
    <t>Pigsag-an</t>
  </si>
  <si>
    <t xml:space="preserve">Puerto </t>
  </si>
  <si>
    <t xml:space="preserve">Puntod </t>
  </si>
  <si>
    <t>San Simon</t>
  </si>
  <si>
    <t>Tablon</t>
  </si>
  <si>
    <t xml:space="preserve">Taglimao </t>
  </si>
  <si>
    <t xml:space="preserve">Tagpangi </t>
  </si>
  <si>
    <t xml:space="preserve">Tignapoloan </t>
  </si>
  <si>
    <t xml:space="preserve">Tuburan </t>
  </si>
  <si>
    <t xml:space="preserve">Tumpagon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</si>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</sst>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#,##0.00;\(#,##0.00\)"/>
  </numFmts>
  <fonts count="24">
    <font>
      <sz val="10"/>
      <color rgb="FF000000"/>
      <name val="Arial"/>
      <charset val="134"/>
      <scheme val="minor"/>
    </font>
    <font>
      <b/>
      <sz val="10"/>
      <color rgb="FFFFFFFF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0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2" borderId="4" applyNumberFormat="0" applyAlignment="0" applyProtection="0">
      <alignment vertical="center"/>
    </xf>
    <xf numFmtId="0" fontId="16" fillId="13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</cellStyleXfs>
  <cellXfs count="20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176" fontId="1" fillId="2" borderId="0" xfId="0" applyNumberFormat="1" applyFont="1" applyFill="1" applyAlignment="1">
      <alignment horizontal="center" wrapText="1"/>
    </xf>
    <xf numFmtId="176" fontId="1" fillId="2" borderId="0" xfId="0" applyNumberFormat="1" applyFont="1" applyFill="1" applyAlignment="1">
      <alignment horizontal="center"/>
    </xf>
    <xf numFmtId="176" fontId="2" fillId="3" borderId="0" xfId="0" applyNumberFormat="1" applyFont="1" applyFill="1" applyAlignment="1">
      <alignment horizontal="center"/>
    </xf>
    <xf numFmtId="176" fontId="2" fillId="4" borderId="0" xfId="0" applyNumberFormat="1" applyFont="1" applyFill="1" applyAlignment="1">
      <alignment horizontal="center"/>
    </xf>
    <xf numFmtId="176" fontId="2" fillId="5" borderId="0" xfId="0" applyNumberFormat="1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176" fontId="3" fillId="0" borderId="0" xfId="0" applyNumberFormat="1" applyFont="1" applyAlignment="1">
      <alignment horizontal="center"/>
    </xf>
    <xf numFmtId="0" fontId="3" fillId="7" borderId="0" xfId="0" applyFont="1" applyFill="1" applyAlignment="1"/>
    <xf numFmtId="0" fontId="3" fillId="8" borderId="0" xfId="0" applyFont="1" applyFill="1" applyAlignment="1"/>
    <xf numFmtId="0" fontId="3" fillId="8" borderId="0" xfId="0" applyFont="1" applyFill="1" applyAlignment="1">
      <alignment horizontal="center"/>
    </xf>
    <xf numFmtId="176" fontId="3" fillId="8" borderId="0" xfId="0" applyNumberFormat="1" applyFont="1" applyFill="1" applyAlignment="1">
      <alignment horizontal="center"/>
    </xf>
    <xf numFmtId="0" fontId="2" fillId="9" borderId="0" xfId="0" applyFont="1" applyFill="1" applyAlignment="1"/>
    <xf numFmtId="0" fontId="2" fillId="9" borderId="0" xfId="0" applyFont="1" applyFill="1" applyAlignment="1">
      <alignment horizontal="center"/>
    </xf>
    <xf numFmtId="0" fontId="3" fillId="9" borderId="0" xfId="0" applyFont="1" applyFill="1" applyAlignment="1"/>
    <xf numFmtId="176" fontId="2" fillId="9" borderId="0" xfId="0" applyNumberFormat="1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83"/>
  <sheetViews>
    <sheetView tabSelected="1" zoomScale="48" zoomScaleNormal="48" workbookViewId="0">
      <pane xSplit="1" topLeftCell="B1" activePane="topRight" state="frozen"/>
      <selection/>
      <selection pane="topRight" activeCell="H83" sqref="H83"/>
    </sheetView>
  </sheetViews>
  <sheetFormatPr defaultColWidth="12.6727272727273" defaultRowHeight="15.75" customHeight="1" outlineLevelCol="7"/>
  <cols>
    <col min="2" max="2" width="15.9090909090909" customWidth="1"/>
    <col min="3" max="3" width="21.1727272727273" customWidth="1"/>
    <col min="4" max="4" width="24.2727272727273" customWidth="1"/>
    <col min="5" max="5" width="21.1727272727273" customWidth="1"/>
    <col min="6" max="6" width="26.0272727272727" customWidth="1"/>
    <col min="7" max="7" width="22.9181818181818" customWidth="1"/>
    <col min="8" max="8" width="23.6" customWidth="1"/>
  </cols>
  <sheetData>
    <row r="1" customHeight="1" spans="1: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ht="13" spans="5:8">
      <c r="E2" s="5" t="s">
        <v>5</v>
      </c>
      <c r="F2" s="6" t="s">
        <v>6</v>
      </c>
      <c r="G2" s="7" t="s">
        <v>7</v>
      </c>
      <c r="H2" s="8" t="s">
        <v>8</v>
      </c>
    </row>
    <row r="3" ht="12.5" spans="1:8">
      <c r="A3" s="9" t="s">
        <v>9</v>
      </c>
      <c r="B3" s="10">
        <v>19039</v>
      </c>
      <c r="C3" s="10">
        <v>0.42</v>
      </c>
      <c r="D3" s="11">
        <f t="shared" ref="D3:D82" si="0">(C3*B3)</f>
        <v>7996.38</v>
      </c>
      <c r="E3" s="11">
        <f>D3*0.14</f>
        <v>1119.4932</v>
      </c>
      <c r="F3" s="11">
        <f t="shared" ref="F3:F82" si="1">D3*0.38</f>
        <v>3038.6244</v>
      </c>
      <c r="G3" s="11">
        <f t="shared" ref="G3:G81" si="2">D3*0.5</f>
        <v>3998.19</v>
      </c>
      <c r="H3" s="10">
        <f t="shared" ref="H3:H83" si="3">D3*0.05</f>
        <v>399.819</v>
      </c>
    </row>
    <row r="4" ht="12.5" spans="1:8">
      <c r="A4" s="9" t="s">
        <v>10</v>
      </c>
      <c r="B4" s="10">
        <v>2879</v>
      </c>
      <c r="C4" s="10">
        <v>0.42</v>
      </c>
      <c r="D4" s="11">
        <f t="shared" si="0"/>
        <v>1209.18</v>
      </c>
      <c r="E4" s="11">
        <f t="shared" ref="E4:E82" si="4">D4*0.17</f>
        <v>205.5606</v>
      </c>
      <c r="F4" s="11">
        <f t="shared" si="1"/>
        <v>459.4884</v>
      </c>
      <c r="G4" s="11">
        <f t="shared" si="2"/>
        <v>604.59</v>
      </c>
      <c r="H4" s="10">
        <f t="shared" si="3"/>
        <v>60.459</v>
      </c>
    </row>
    <row r="5" ht="12.5" spans="1:8">
      <c r="A5" s="9" t="s">
        <v>11</v>
      </c>
      <c r="B5" s="10">
        <v>7013</v>
      </c>
      <c r="C5" s="10">
        <v>0.42</v>
      </c>
      <c r="D5" s="11">
        <f t="shared" si="0"/>
        <v>2945.46</v>
      </c>
      <c r="E5" s="11">
        <f t="shared" si="4"/>
        <v>500.7282</v>
      </c>
      <c r="F5" s="11">
        <f t="shared" si="1"/>
        <v>1119.2748</v>
      </c>
      <c r="G5" s="11">
        <f t="shared" si="2"/>
        <v>1472.73</v>
      </c>
      <c r="H5" s="10">
        <f t="shared" si="3"/>
        <v>147.273</v>
      </c>
    </row>
    <row r="6" ht="12.5" spans="1:8">
      <c r="A6" s="9" t="s">
        <v>12</v>
      </c>
      <c r="B6" s="10">
        <v>42205</v>
      </c>
      <c r="C6" s="10">
        <v>0.42</v>
      </c>
      <c r="D6" s="11">
        <f t="shared" si="0"/>
        <v>17726.1</v>
      </c>
      <c r="E6" s="11">
        <f t="shared" si="4"/>
        <v>3013.437</v>
      </c>
      <c r="F6" s="11">
        <f t="shared" si="1"/>
        <v>6735.918</v>
      </c>
      <c r="G6" s="11">
        <f t="shared" si="2"/>
        <v>8863.05</v>
      </c>
      <c r="H6" s="10">
        <f t="shared" si="3"/>
        <v>886.305</v>
      </c>
    </row>
    <row r="7" ht="12.5" spans="1:8">
      <c r="A7" s="9" t="s">
        <v>13</v>
      </c>
      <c r="B7" s="10">
        <v>168</v>
      </c>
      <c r="C7" s="10">
        <v>0.42</v>
      </c>
      <c r="D7" s="11">
        <f t="shared" si="0"/>
        <v>70.56</v>
      </c>
      <c r="E7" s="11">
        <f t="shared" si="4"/>
        <v>11.9952</v>
      </c>
      <c r="F7" s="11">
        <f t="shared" si="1"/>
        <v>26.8128</v>
      </c>
      <c r="G7" s="11">
        <f t="shared" si="2"/>
        <v>35.28</v>
      </c>
      <c r="H7" s="10">
        <f t="shared" si="3"/>
        <v>3.528</v>
      </c>
    </row>
    <row r="8" ht="12.5" spans="1:8">
      <c r="A8" s="9" t="s">
        <v>14</v>
      </c>
      <c r="B8" s="10">
        <v>50</v>
      </c>
      <c r="C8" s="10">
        <v>0.42</v>
      </c>
      <c r="D8" s="11">
        <f t="shared" si="0"/>
        <v>21</v>
      </c>
      <c r="E8" s="11">
        <f t="shared" si="4"/>
        <v>3.57</v>
      </c>
      <c r="F8" s="11">
        <f t="shared" si="1"/>
        <v>7.98</v>
      </c>
      <c r="G8" s="11">
        <f t="shared" si="2"/>
        <v>10.5</v>
      </c>
      <c r="H8" s="10">
        <f t="shared" si="3"/>
        <v>1.05</v>
      </c>
    </row>
    <row r="9" ht="12.5" spans="1:8">
      <c r="A9" s="9" t="s">
        <v>15</v>
      </c>
      <c r="B9" s="10">
        <v>93</v>
      </c>
      <c r="C9" s="10">
        <v>0.42</v>
      </c>
      <c r="D9" s="11">
        <f t="shared" si="0"/>
        <v>39.06</v>
      </c>
      <c r="E9" s="11">
        <f t="shared" si="4"/>
        <v>6.6402</v>
      </c>
      <c r="F9" s="11">
        <f t="shared" si="1"/>
        <v>14.8428</v>
      </c>
      <c r="G9" s="11">
        <f t="shared" si="2"/>
        <v>19.53</v>
      </c>
      <c r="H9" s="10">
        <f t="shared" si="3"/>
        <v>1.953</v>
      </c>
    </row>
    <row r="10" ht="12.5" spans="1:8">
      <c r="A10" s="12" t="s">
        <v>16</v>
      </c>
      <c r="B10" s="10">
        <v>68</v>
      </c>
      <c r="C10" s="10">
        <v>0.42</v>
      </c>
      <c r="D10" s="11">
        <f t="shared" si="0"/>
        <v>28.56</v>
      </c>
      <c r="E10" s="11">
        <f t="shared" si="4"/>
        <v>4.8552</v>
      </c>
      <c r="F10" s="11">
        <f t="shared" si="1"/>
        <v>10.8528</v>
      </c>
      <c r="G10" s="11">
        <f t="shared" si="2"/>
        <v>14.28</v>
      </c>
      <c r="H10" s="10">
        <f t="shared" si="3"/>
        <v>1.428</v>
      </c>
    </row>
    <row r="11" ht="12.5" spans="1:8">
      <c r="A11" s="12" t="s">
        <v>17</v>
      </c>
      <c r="B11" s="10">
        <v>34</v>
      </c>
      <c r="C11" s="10">
        <v>0.42</v>
      </c>
      <c r="D11" s="11">
        <f t="shared" si="0"/>
        <v>14.28</v>
      </c>
      <c r="E11" s="11">
        <f t="shared" si="4"/>
        <v>2.4276</v>
      </c>
      <c r="F11" s="11">
        <f t="shared" si="1"/>
        <v>5.4264</v>
      </c>
      <c r="G11" s="11">
        <f t="shared" si="2"/>
        <v>7.14</v>
      </c>
      <c r="H11" s="10">
        <f t="shared" si="3"/>
        <v>0.714</v>
      </c>
    </row>
    <row r="12" ht="12.5" spans="1:8">
      <c r="A12" s="9" t="s">
        <v>18</v>
      </c>
      <c r="B12" s="10">
        <v>33</v>
      </c>
      <c r="C12" s="10">
        <v>0.42</v>
      </c>
      <c r="D12" s="11">
        <f t="shared" si="0"/>
        <v>13.86</v>
      </c>
      <c r="E12" s="11">
        <f t="shared" si="4"/>
        <v>2.3562</v>
      </c>
      <c r="F12" s="11">
        <f t="shared" si="1"/>
        <v>5.2668</v>
      </c>
      <c r="G12" s="11">
        <f t="shared" si="2"/>
        <v>6.93</v>
      </c>
      <c r="H12" s="10">
        <f t="shared" si="3"/>
        <v>0.693</v>
      </c>
    </row>
    <row r="13" ht="12.5" spans="1:8">
      <c r="A13" s="12" t="s">
        <v>19</v>
      </c>
      <c r="B13" s="10">
        <v>544</v>
      </c>
      <c r="C13" s="10">
        <v>0.42</v>
      </c>
      <c r="D13" s="11">
        <f t="shared" si="0"/>
        <v>228.48</v>
      </c>
      <c r="E13" s="11">
        <f t="shared" si="4"/>
        <v>38.8416</v>
      </c>
      <c r="F13" s="11">
        <f t="shared" si="1"/>
        <v>86.8224</v>
      </c>
      <c r="G13" s="11">
        <f t="shared" si="2"/>
        <v>114.24</v>
      </c>
      <c r="H13" s="10">
        <f t="shared" si="3"/>
        <v>11.424</v>
      </c>
    </row>
    <row r="14" ht="12.5" spans="1:8">
      <c r="A14" s="12" t="s">
        <v>20</v>
      </c>
      <c r="B14" s="10">
        <v>90</v>
      </c>
      <c r="C14" s="10">
        <v>0.42</v>
      </c>
      <c r="D14" s="11">
        <f t="shared" si="0"/>
        <v>37.8</v>
      </c>
      <c r="E14" s="11">
        <f t="shared" si="4"/>
        <v>6.426</v>
      </c>
      <c r="F14" s="11">
        <f t="shared" si="1"/>
        <v>14.364</v>
      </c>
      <c r="G14" s="11">
        <f t="shared" si="2"/>
        <v>18.9</v>
      </c>
      <c r="H14" s="10">
        <f t="shared" si="3"/>
        <v>1.89</v>
      </c>
    </row>
    <row r="15" ht="12.5" spans="1:8">
      <c r="A15" s="12" t="s">
        <v>21</v>
      </c>
      <c r="B15" s="10">
        <v>130</v>
      </c>
      <c r="C15" s="10">
        <v>0.42</v>
      </c>
      <c r="D15" s="11">
        <f t="shared" si="0"/>
        <v>54.6</v>
      </c>
      <c r="E15" s="11">
        <f t="shared" si="4"/>
        <v>9.282</v>
      </c>
      <c r="F15" s="11">
        <f t="shared" si="1"/>
        <v>20.748</v>
      </c>
      <c r="G15" s="11">
        <f t="shared" si="2"/>
        <v>27.3</v>
      </c>
      <c r="H15" s="10">
        <f t="shared" si="3"/>
        <v>2.73</v>
      </c>
    </row>
    <row r="16" ht="12.5" spans="1:8">
      <c r="A16" s="9" t="s">
        <v>22</v>
      </c>
      <c r="B16" s="10">
        <v>557</v>
      </c>
      <c r="C16" s="10">
        <v>0.42</v>
      </c>
      <c r="D16" s="11">
        <f t="shared" si="0"/>
        <v>233.94</v>
      </c>
      <c r="E16" s="11">
        <f t="shared" si="4"/>
        <v>39.7698</v>
      </c>
      <c r="F16" s="11">
        <f t="shared" si="1"/>
        <v>88.8972</v>
      </c>
      <c r="G16" s="11">
        <f t="shared" si="2"/>
        <v>116.97</v>
      </c>
      <c r="H16" s="10">
        <f t="shared" si="3"/>
        <v>11.697</v>
      </c>
    </row>
    <row r="17" ht="12.5" spans="1:8">
      <c r="A17" s="9" t="s">
        <v>23</v>
      </c>
      <c r="B17" s="10">
        <v>162</v>
      </c>
      <c r="C17" s="10">
        <v>0.42</v>
      </c>
      <c r="D17" s="11">
        <f t="shared" si="0"/>
        <v>68.04</v>
      </c>
      <c r="E17" s="11">
        <f t="shared" si="4"/>
        <v>11.5668</v>
      </c>
      <c r="F17" s="11">
        <f t="shared" si="1"/>
        <v>25.8552</v>
      </c>
      <c r="G17" s="11">
        <f t="shared" si="2"/>
        <v>34.02</v>
      </c>
      <c r="H17" s="10">
        <f t="shared" si="3"/>
        <v>3.402</v>
      </c>
    </row>
    <row r="18" ht="12.5" spans="1:8">
      <c r="A18" s="9" t="s">
        <v>24</v>
      </c>
      <c r="B18" s="10">
        <v>257</v>
      </c>
      <c r="C18" s="10">
        <v>0.42</v>
      </c>
      <c r="D18" s="11">
        <f t="shared" si="0"/>
        <v>107.94</v>
      </c>
      <c r="E18" s="11">
        <f t="shared" si="4"/>
        <v>18.3498</v>
      </c>
      <c r="F18" s="11">
        <f t="shared" si="1"/>
        <v>41.0172</v>
      </c>
      <c r="G18" s="11">
        <f t="shared" si="2"/>
        <v>53.97</v>
      </c>
      <c r="H18" s="10">
        <f t="shared" si="3"/>
        <v>5.397</v>
      </c>
    </row>
    <row r="19" ht="12.5" spans="1:8">
      <c r="A19" s="9" t="s">
        <v>25</v>
      </c>
      <c r="B19" s="10">
        <v>965</v>
      </c>
      <c r="C19" s="10">
        <v>0.42</v>
      </c>
      <c r="D19" s="11">
        <f t="shared" si="0"/>
        <v>405.3</v>
      </c>
      <c r="E19" s="11">
        <f t="shared" si="4"/>
        <v>68.901</v>
      </c>
      <c r="F19" s="11">
        <f t="shared" si="1"/>
        <v>154.014</v>
      </c>
      <c r="G19" s="11">
        <f t="shared" si="2"/>
        <v>202.65</v>
      </c>
      <c r="H19" s="10">
        <f t="shared" si="3"/>
        <v>20.265</v>
      </c>
    </row>
    <row r="20" ht="12.5" spans="1:8">
      <c r="A20" s="9" t="s">
        <v>26</v>
      </c>
      <c r="B20" s="10">
        <v>351</v>
      </c>
      <c r="C20" s="10">
        <v>0.42</v>
      </c>
      <c r="D20" s="11">
        <f t="shared" si="0"/>
        <v>147.42</v>
      </c>
      <c r="E20" s="11">
        <f t="shared" si="4"/>
        <v>25.0614</v>
      </c>
      <c r="F20" s="11">
        <f t="shared" si="1"/>
        <v>56.0196</v>
      </c>
      <c r="G20" s="11">
        <f t="shared" si="2"/>
        <v>73.71</v>
      </c>
      <c r="H20" s="10">
        <f t="shared" si="3"/>
        <v>7.371</v>
      </c>
    </row>
    <row r="21" ht="12.5" spans="1:8">
      <c r="A21" s="9" t="s">
        <v>27</v>
      </c>
      <c r="B21" s="10">
        <v>1847</v>
      </c>
      <c r="C21" s="10">
        <v>0.42</v>
      </c>
      <c r="D21" s="11">
        <f t="shared" si="0"/>
        <v>775.74</v>
      </c>
      <c r="E21" s="11">
        <f t="shared" si="4"/>
        <v>131.8758</v>
      </c>
      <c r="F21" s="11">
        <f t="shared" si="1"/>
        <v>294.7812</v>
      </c>
      <c r="G21" s="11">
        <f t="shared" si="2"/>
        <v>387.87</v>
      </c>
      <c r="H21" s="10">
        <f t="shared" si="3"/>
        <v>38.787</v>
      </c>
    </row>
    <row r="22" ht="12.5" spans="1:8">
      <c r="A22" s="12" t="s">
        <v>28</v>
      </c>
      <c r="B22" s="10">
        <v>25</v>
      </c>
      <c r="C22" s="10">
        <v>0.42</v>
      </c>
      <c r="D22" s="11">
        <f t="shared" si="0"/>
        <v>10.5</v>
      </c>
      <c r="E22" s="11">
        <f t="shared" si="4"/>
        <v>1.785</v>
      </c>
      <c r="F22" s="11">
        <f t="shared" si="1"/>
        <v>3.99</v>
      </c>
      <c r="G22" s="11">
        <f t="shared" si="2"/>
        <v>5.25</v>
      </c>
      <c r="H22" s="10">
        <f t="shared" si="3"/>
        <v>0.525</v>
      </c>
    </row>
    <row r="23" ht="12.5" spans="1:8">
      <c r="A23" s="12" t="s">
        <v>29</v>
      </c>
      <c r="B23" s="10">
        <v>2058</v>
      </c>
      <c r="C23" s="10">
        <v>0.42</v>
      </c>
      <c r="D23" s="11">
        <f t="shared" si="0"/>
        <v>864.36</v>
      </c>
      <c r="E23" s="11">
        <f t="shared" si="4"/>
        <v>146.9412</v>
      </c>
      <c r="F23" s="11">
        <f t="shared" si="1"/>
        <v>328.4568</v>
      </c>
      <c r="G23" s="11">
        <f t="shared" si="2"/>
        <v>432.18</v>
      </c>
      <c r="H23" s="10">
        <f t="shared" si="3"/>
        <v>43.218</v>
      </c>
    </row>
    <row r="24" ht="12.5" spans="1:8">
      <c r="A24" s="12" t="s">
        <v>30</v>
      </c>
      <c r="B24" s="10">
        <v>1269</v>
      </c>
      <c r="C24" s="10">
        <v>0.42</v>
      </c>
      <c r="D24" s="11">
        <f t="shared" si="0"/>
        <v>532.98</v>
      </c>
      <c r="E24" s="11">
        <f t="shared" si="4"/>
        <v>90.6066</v>
      </c>
      <c r="F24" s="11">
        <f t="shared" si="1"/>
        <v>202.5324</v>
      </c>
      <c r="G24" s="11">
        <f t="shared" si="2"/>
        <v>266.49</v>
      </c>
      <c r="H24" s="10">
        <f t="shared" si="3"/>
        <v>26.649</v>
      </c>
    </row>
    <row r="25" ht="12.5" spans="1:8">
      <c r="A25" s="12" t="s">
        <v>31</v>
      </c>
      <c r="B25" s="10">
        <v>227</v>
      </c>
      <c r="C25" s="10">
        <v>0.42</v>
      </c>
      <c r="D25" s="11">
        <f t="shared" si="0"/>
        <v>95.34</v>
      </c>
      <c r="E25" s="11">
        <f t="shared" si="4"/>
        <v>16.2078</v>
      </c>
      <c r="F25" s="11">
        <f t="shared" si="1"/>
        <v>36.2292</v>
      </c>
      <c r="G25" s="11">
        <f t="shared" si="2"/>
        <v>47.67</v>
      </c>
      <c r="H25" s="10">
        <f t="shared" si="3"/>
        <v>4.767</v>
      </c>
    </row>
    <row r="26" ht="12.5" spans="1:8">
      <c r="A26" s="9" t="s">
        <v>32</v>
      </c>
      <c r="B26" s="10">
        <v>80</v>
      </c>
      <c r="C26" s="10">
        <v>0.42</v>
      </c>
      <c r="D26" s="11">
        <f t="shared" si="0"/>
        <v>33.6</v>
      </c>
      <c r="E26" s="11">
        <f t="shared" si="4"/>
        <v>5.712</v>
      </c>
      <c r="F26" s="11">
        <f t="shared" si="1"/>
        <v>12.768</v>
      </c>
      <c r="G26" s="11">
        <f t="shared" si="2"/>
        <v>16.8</v>
      </c>
      <c r="H26" s="10">
        <f t="shared" si="3"/>
        <v>1.68</v>
      </c>
    </row>
    <row r="27" ht="12.5" spans="1:8">
      <c r="A27" s="9" t="s">
        <v>33</v>
      </c>
      <c r="B27" s="10">
        <v>363</v>
      </c>
      <c r="C27" s="10">
        <v>0.42</v>
      </c>
      <c r="D27" s="11">
        <f t="shared" si="0"/>
        <v>152.46</v>
      </c>
      <c r="E27" s="11">
        <f t="shared" si="4"/>
        <v>25.9182</v>
      </c>
      <c r="F27" s="11">
        <f t="shared" si="1"/>
        <v>57.9348</v>
      </c>
      <c r="G27" s="11">
        <f t="shared" si="2"/>
        <v>76.23</v>
      </c>
      <c r="H27" s="10">
        <f t="shared" si="3"/>
        <v>7.623</v>
      </c>
    </row>
    <row r="28" ht="12.5" spans="1:8">
      <c r="A28" s="9" t="s">
        <v>34</v>
      </c>
      <c r="B28" s="10">
        <v>3324</v>
      </c>
      <c r="C28" s="10">
        <v>0.42</v>
      </c>
      <c r="D28" s="11">
        <f t="shared" si="0"/>
        <v>1396.08</v>
      </c>
      <c r="E28" s="11">
        <f t="shared" si="4"/>
        <v>237.3336</v>
      </c>
      <c r="F28" s="11">
        <f t="shared" si="1"/>
        <v>530.5104</v>
      </c>
      <c r="G28" s="11">
        <f t="shared" si="2"/>
        <v>698.04</v>
      </c>
      <c r="H28" s="10">
        <f t="shared" si="3"/>
        <v>69.804</v>
      </c>
    </row>
    <row r="29" ht="12.5" spans="1:8">
      <c r="A29" s="9" t="s">
        <v>35</v>
      </c>
      <c r="B29" s="10">
        <v>936</v>
      </c>
      <c r="C29" s="10">
        <v>0.42</v>
      </c>
      <c r="D29" s="11">
        <f t="shared" si="0"/>
        <v>393.12</v>
      </c>
      <c r="E29" s="11">
        <f t="shared" si="4"/>
        <v>66.8304</v>
      </c>
      <c r="F29" s="11">
        <f t="shared" si="1"/>
        <v>149.3856</v>
      </c>
      <c r="G29" s="11">
        <f t="shared" si="2"/>
        <v>196.56</v>
      </c>
      <c r="H29" s="10">
        <f t="shared" si="3"/>
        <v>19.656</v>
      </c>
    </row>
    <row r="30" ht="12.5" spans="1:8">
      <c r="A30" s="9" t="s">
        <v>36</v>
      </c>
      <c r="B30" s="10">
        <v>607</v>
      </c>
      <c r="C30" s="10">
        <v>0.42</v>
      </c>
      <c r="D30" s="11">
        <f t="shared" si="0"/>
        <v>254.94</v>
      </c>
      <c r="E30" s="11">
        <f t="shared" si="4"/>
        <v>43.3398</v>
      </c>
      <c r="F30" s="11">
        <f t="shared" si="1"/>
        <v>96.8772</v>
      </c>
      <c r="G30" s="11">
        <f t="shared" si="2"/>
        <v>127.47</v>
      </c>
      <c r="H30" s="10">
        <f t="shared" si="3"/>
        <v>12.747</v>
      </c>
    </row>
    <row r="31" ht="12.5" spans="1:8">
      <c r="A31" s="9" t="s">
        <v>37</v>
      </c>
      <c r="B31" s="10">
        <v>661</v>
      </c>
      <c r="C31" s="10">
        <v>0.42</v>
      </c>
      <c r="D31" s="11">
        <f t="shared" si="0"/>
        <v>277.62</v>
      </c>
      <c r="E31" s="11">
        <f t="shared" si="4"/>
        <v>47.1954</v>
      </c>
      <c r="F31" s="11">
        <f t="shared" si="1"/>
        <v>105.4956</v>
      </c>
      <c r="G31" s="11">
        <f t="shared" si="2"/>
        <v>138.81</v>
      </c>
      <c r="H31" s="10">
        <f t="shared" si="3"/>
        <v>13.881</v>
      </c>
    </row>
    <row r="32" ht="12.5" spans="1:8">
      <c r="A32" s="9" t="s">
        <v>38</v>
      </c>
      <c r="B32" s="10">
        <v>1215</v>
      </c>
      <c r="C32" s="10">
        <v>0.42</v>
      </c>
      <c r="D32" s="11">
        <f t="shared" si="0"/>
        <v>510.3</v>
      </c>
      <c r="E32" s="11">
        <f t="shared" si="4"/>
        <v>86.751</v>
      </c>
      <c r="F32" s="11">
        <f t="shared" si="1"/>
        <v>193.914</v>
      </c>
      <c r="G32" s="11">
        <f t="shared" si="2"/>
        <v>255.15</v>
      </c>
      <c r="H32" s="10">
        <f t="shared" si="3"/>
        <v>25.515</v>
      </c>
    </row>
    <row r="33" ht="12.5" spans="1:8">
      <c r="A33" s="9" t="s">
        <v>39</v>
      </c>
      <c r="B33" s="10">
        <v>1601</v>
      </c>
      <c r="C33" s="10">
        <v>0.42</v>
      </c>
      <c r="D33" s="11">
        <f t="shared" si="0"/>
        <v>672.42</v>
      </c>
      <c r="E33" s="11">
        <f t="shared" si="4"/>
        <v>114.3114</v>
      </c>
      <c r="F33" s="11">
        <f t="shared" si="1"/>
        <v>255.5196</v>
      </c>
      <c r="G33" s="11">
        <f t="shared" si="2"/>
        <v>336.21</v>
      </c>
      <c r="H33" s="10">
        <f t="shared" si="3"/>
        <v>33.621</v>
      </c>
    </row>
    <row r="34" ht="12.5" spans="1:8">
      <c r="A34" s="12" t="s">
        <v>40</v>
      </c>
      <c r="B34" s="10">
        <v>493</v>
      </c>
      <c r="C34" s="10">
        <v>0.42</v>
      </c>
      <c r="D34" s="11">
        <f t="shared" si="0"/>
        <v>207.06</v>
      </c>
      <c r="E34" s="11">
        <f t="shared" si="4"/>
        <v>35.2002</v>
      </c>
      <c r="F34" s="11">
        <f t="shared" si="1"/>
        <v>78.6828</v>
      </c>
      <c r="G34" s="11">
        <f t="shared" si="2"/>
        <v>103.53</v>
      </c>
      <c r="H34" s="10">
        <f t="shared" si="3"/>
        <v>10.353</v>
      </c>
    </row>
    <row r="35" ht="12.5" spans="1:8">
      <c r="A35" s="12" t="s">
        <v>41</v>
      </c>
      <c r="B35" s="10">
        <v>476</v>
      </c>
      <c r="C35" s="10">
        <v>0.42</v>
      </c>
      <c r="D35" s="11">
        <f t="shared" si="0"/>
        <v>199.92</v>
      </c>
      <c r="E35" s="11">
        <f t="shared" si="4"/>
        <v>33.9864</v>
      </c>
      <c r="F35" s="11">
        <f t="shared" si="1"/>
        <v>75.9696</v>
      </c>
      <c r="G35" s="11">
        <f t="shared" si="2"/>
        <v>99.96</v>
      </c>
      <c r="H35" s="10">
        <f t="shared" si="3"/>
        <v>9.996</v>
      </c>
    </row>
    <row r="36" ht="12.5" spans="1:8">
      <c r="A36" s="9" t="s">
        <v>42</v>
      </c>
      <c r="B36" s="10">
        <v>678</v>
      </c>
      <c r="C36" s="10">
        <v>0.42</v>
      </c>
      <c r="D36" s="11">
        <f t="shared" si="0"/>
        <v>284.76</v>
      </c>
      <c r="E36" s="11">
        <f t="shared" si="4"/>
        <v>48.4092</v>
      </c>
      <c r="F36" s="11">
        <f t="shared" si="1"/>
        <v>108.2088</v>
      </c>
      <c r="G36" s="11">
        <f t="shared" si="2"/>
        <v>142.38</v>
      </c>
      <c r="H36" s="10">
        <f t="shared" si="3"/>
        <v>14.238</v>
      </c>
    </row>
    <row r="37" ht="12.5" spans="1:8">
      <c r="A37" s="9" t="s">
        <v>43</v>
      </c>
      <c r="B37" s="10">
        <v>575</v>
      </c>
      <c r="C37" s="10">
        <v>0.42</v>
      </c>
      <c r="D37" s="11">
        <f t="shared" si="0"/>
        <v>241.5</v>
      </c>
      <c r="E37" s="11">
        <f t="shared" si="4"/>
        <v>41.055</v>
      </c>
      <c r="F37" s="11">
        <f t="shared" si="1"/>
        <v>91.77</v>
      </c>
      <c r="G37" s="11">
        <f t="shared" si="2"/>
        <v>120.75</v>
      </c>
      <c r="H37" s="10">
        <f t="shared" si="3"/>
        <v>12.075</v>
      </c>
    </row>
    <row r="38" ht="12.5" spans="1:8">
      <c r="A38" s="12" t="s">
        <v>44</v>
      </c>
      <c r="B38" s="10">
        <v>792</v>
      </c>
      <c r="C38" s="10">
        <v>0.42</v>
      </c>
      <c r="D38" s="11">
        <f t="shared" si="0"/>
        <v>332.64</v>
      </c>
      <c r="E38" s="11">
        <f t="shared" si="4"/>
        <v>56.5488</v>
      </c>
      <c r="F38" s="11">
        <f t="shared" si="1"/>
        <v>126.4032</v>
      </c>
      <c r="G38" s="11">
        <f t="shared" si="2"/>
        <v>166.32</v>
      </c>
      <c r="H38" s="10">
        <f t="shared" si="3"/>
        <v>16.632</v>
      </c>
    </row>
    <row r="39" ht="12.5" spans="1:8">
      <c r="A39" s="9" t="s">
        <v>45</v>
      </c>
      <c r="B39" s="10">
        <v>84</v>
      </c>
      <c r="C39" s="10">
        <v>0.42</v>
      </c>
      <c r="D39" s="11">
        <f t="shared" si="0"/>
        <v>35.28</v>
      </c>
      <c r="E39" s="11">
        <f t="shared" si="4"/>
        <v>5.9976</v>
      </c>
      <c r="F39" s="11">
        <f t="shared" si="1"/>
        <v>13.4064</v>
      </c>
      <c r="G39" s="11">
        <f t="shared" si="2"/>
        <v>17.64</v>
      </c>
      <c r="H39" s="10">
        <f t="shared" si="3"/>
        <v>1.764</v>
      </c>
    </row>
    <row r="40" ht="12.5" spans="1:8">
      <c r="A40" s="12" t="s">
        <v>46</v>
      </c>
      <c r="B40" s="10">
        <v>529</v>
      </c>
      <c r="C40" s="10">
        <v>0.42</v>
      </c>
      <c r="D40" s="11">
        <f t="shared" si="0"/>
        <v>222.18</v>
      </c>
      <c r="E40" s="11">
        <f t="shared" si="4"/>
        <v>37.7706</v>
      </c>
      <c r="F40" s="11">
        <f t="shared" si="1"/>
        <v>84.4284</v>
      </c>
      <c r="G40" s="11">
        <f t="shared" si="2"/>
        <v>111.09</v>
      </c>
      <c r="H40" s="10">
        <f t="shared" si="3"/>
        <v>11.109</v>
      </c>
    </row>
    <row r="41" ht="12.5" spans="1:8">
      <c r="A41" s="12" t="s">
        <v>47</v>
      </c>
      <c r="B41" s="10">
        <v>2002</v>
      </c>
      <c r="C41" s="10">
        <v>0.42</v>
      </c>
      <c r="D41" s="11">
        <f t="shared" si="0"/>
        <v>840.84</v>
      </c>
      <c r="E41" s="11">
        <f t="shared" si="4"/>
        <v>142.9428</v>
      </c>
      <c r="F41" s="11">
        <f t="shared" si="1"/>
        <v>319.5192</v>
      </c>
      <c r="G41" s="11">
        <f t="shared" si="2"/>
        <v>420.42</v>
      </c>
      <c r="H41" s="10">
        <f t="shared" si="3"/>
        <v>42.042</v>
      </c>
    </row>
    <row r="42" ht="12.5" spans="1:8">
      <c r="A42" s="12" t="s">
        <v>48</v>
      </c>
      <c r="B42" s="10">
        <v>447</v>
      </c>
      <c r="C42" s="10">
        <v>0.42</v>
      </c>
      <c r="D42" s="11">
        <f t="shared" si="0"/>
        <v>187.74</v>
      </c>
      <c r="E42" s="11">
        <f t="shared" si="4"/>
        <v>31.9158</v>
      </c>
      <c r="F42" s="11">
        <f t="shared" si="1"/>
        <v>71.3412</v>
      </c>
      <c r="G42" s="11">
        <f t="shared" si="2"/>
        <v>93.87</v>
      </c>
      <c r="H42" s="10">
        <f t="shared" si="3"/>
        <v>9.387</v>
      </c>
    </row>
    <row r="43" ht="12.5" spans="1:8">
      <c r="A43" s="9" t="s">
        <v>49</v>
      </c>
      <c r="B43" s="10">
        <v>181</v>
      </c>
      <c r="C43" s="10">
        <v>0.42</v>
      </c>
      <c r="D43" s="11">
        <f t="shared" si="0"/>
        <v>76.02</v>
      </c>
      <c r="E43" s="11">
        <f t="shared" si="4"/>
        <v>12.9234</v>
      </c>
      <c r="F43" s="11">
        <f t="shared" si="1"/>
        <v>28.8876</v>
      </c>
      <c r="G43" s="11">
        <f t="shared" si="2"/>
        <v>38.01</v>
      </c>
      <c r="H43" s="10">
        <f t="shared" si="3"/>
        <v>3.801</v>
      </c>
    </row>
    <row r="44" ht="12.5" spans="1:8">
      <c r="A44" s="12" t="s">
        <v>50</v>
      </c>
      <c r="B44" s="10">
        <v>48</v>
      </c>
      <c r="C44" s="10">
        <v>0.42</v>
      </c>
      <c r="D44" s="11">
        <f t="shared" si="0"/>
        <v>20.16</v>
      </c>
      <c r="E44" s="11">
        <f t="shared" si="4"/>
        <v>3.4272</v>
      </c>
      <c r="F44" s="11">
        <f t="shared" si="1"/>
        <v>7.6608</v>
      </c>
      <c r="G44" s="11">
        <f t="shared" si="2"/>
        <v>10.08</v>
      </c>
      <c r="H44" s="10">
        <f t="shared" si="3"/>
        <v>1.008</v>
      </c>
    </row>
    <row r="45" ht="12.5" spans="1:8">
      <c r="A45" s="12" t="s">
        <v>51</v>
      </c>
      <c r="B45" s="10">
        <v>17</v>
      </c>
      <c r="C45" s="10">
        <v>0.42</v>
      </c>
      <c r="D45" s="11">
        <f t="shared" si="0"/>
        <v>7.14</v>
      </c>
      <c r="E45" s="11">
        <f t="shared" si="4"/>
        <v>1.2138</v>
      </c>
      <c r="F45" s="11">
        <f t="shared" si="1"/>
        <v>2.7132</v>
      </c>
      <c r="G45" s="11">
        <f t="shared" si="2"/>
        <v>3.57</v>
      </c>
      <c r="H45" s="10">
        <f t="shared" si="3"/>
        <v>0.357</v>
      </c>
    </row>
    <row r="46" ht="12.5" spans="1:8">
      <c r="A46" s="9" t="s">
        <v>52</v>
      </c>
      <c r="B46" s="10">
        <v>339</v>
      </c>
      <c r="C46" s="10">
        <v>0.42</v>
      </c>
      <c r="D46" s="11">
        <f t="shared" si="0"/>
        <v>142.38</v>
      </c>
      <c r="E46" s="11">
        <f t="shared" si="4"/>
        <v>24.2046</v>
      </c>
      <c r="F46" s="11">
        <f t="shared" si="1"/>
        <v>54.1044</v>
      </c>
      <c r="G46" s="11">
        <f t="shared" si="2"/>
        <v>71.19</v>
      </c>
      <c r="H46" s="10">
        <f t="shared" si="3"/>
        <v>7.119</v>
      </c>
    </row>
    <row r="47" ht="12.5" spans="1:8">
      <c r="A47" s="9" t="s">
        <v>53</v>
      </c>
      <c r="B47" s="10">
        <v>13991</v>
      </c>
      <c r="C47" s="10">
        <v>0.42</v>
      </c>
      <c r="D47" s="11">
        <f t="shared" si="0"/>
        <v>5876.22</v>
      </c>
      <c r="E47" s="11">
        <f t="shared" si="4"/>
        <v>998.9574</v>
      </c>
      <c r="F47" s="11">
        <f t="shared" si="1"/>
        <v>2232.9636</v>
      </c>
      <c r="G47" s="11">
        <f t="shared" si="2"/>
        <v>2938.11</v>
      </c>
      <c r="H47" s="10">
        <f t="shared" si="3"/>
        <v>293.811</v>
      </c>
    </row>
    <row r="48" ht="12.5" spans="1:8">
      <c r="A48" s="9" t="s">
        <v>54</v>
      </c>
      <c r="B48" s="10">
        <v>3402</v>
      </c>
      <c r="C48" s="10">
        <v>0.42</v>
      </c>
      <c r="D48" s="11">
        <f t="shared" si="0"/>
        <v>1428.84</v>
      </c>
      <c r="E48" s="11">
        <f t="shared" si="4"/>
        <v>242.9028</v>
      </c>
      <c r="F48" s="11">
        <f t="shared" si="1"/>
        <v>542.9592</v>
      </c>
      <c r="G48" s="11">
        <f t="shared" si="2"/>
        <v>714.42</v>
      </c>
      <c r="H48" s="10">
        <f t="shared" si="3"/>
        <v>71.442</v>
      </c>
    </row>
    <row r="49" ht="12.5" spans="1:8">
      <c r="A49" s="9" t="s">
        <v>55</v>
      </c>
      <c r="B49" s="10">
        <v>1700</v>
      </c>
      <c r="C49" s="10">
        <v>0.42</v>
      </c>
      <c r="D49" s="11">
        <f t="shared" si="0"/>
        <v>714</v>
      </c>
      <c r="E49" s="11">
        <f t="shared" si="4"/>
        <v>121.38</v>
      </c>
      <c r="F49" s="11">
        <f t="shared" si="1"/>
        <v>271.32</v>
      </c>
      <c r="G49" s="11">
        <f t="shared" si="2"/>
        <v>357</v>
      </c>
      <c r="H49" s="10">
        <f t="shared" si="3"/>
        <v>35.7</v>
      </c>
    </row>
    <row r="50" ht="12.5" spans="1:8">
      <c r="A50" s="9" t="s">
        <v>56</v>
      </c>
      <c r="B50" s="10">
        <v>10976</v>
      </c>
      <c r="C50" s="10">
        <v>0.42</v>
      </c>
      <c r="D50" s="11">
        <f t="shared" si="0"/>
        <v>4609.92</v>
      </c>
      <c r="E50" s="11">
        <f t="shared" si="4"/>
        <v>783.6864</v>
      </c>
      <c r="F50" s="11">
        <f t="shared" si="1"/>
        <v>1751.7696</v>
      </c>
      <c r="G50" s="11">
        <f t="shared" si="2"/>
        <v>2304.96</v>
      </c>
      <c r="H50" s="10">
        <f t="shared" si="3"/>
        <v>230.496</v>
      </c>
    </row>
    <row r="51" ht="12.5" spans="1:8">
      <c r="A51" s="9" t="s">
        <v>57</v>
      </c>
      <c r="B51" s="10">
        <v>31229</v>
      </c>
      <c r="C51" s="10">
        <v>0.42</v>
      </c>
      <c r="D51" s="11">
        <f t="shared" si="0"/>
        <v>13116.18</v>
      </c>
      <c r="E51" s="11">
        <f t="shared" si="4"/>
        <v>2229.7506</v>
      </c>
      <c r="F51" s="11">
        <f t="shared" si="1"/>
        <v>4984.1484</v>
      </c>
      <c r="G51" s="11">
        <f t="shared" si="2"/>
        <v>6558.09</v>
      </c>
      <c r="H51" s="10">
        <f t="shared" si="3"/>
        <v>655.809</v>
      </c>
    </row>
    <row r="52" ht="12.5" spans="1:8">
      <c r="A52" s="9" t="s">
        <v>58</v>
      </c>
      <c r="B52" s="10">
        <v>35397</v>
      </c>
      <c r="C52" s="10">
        <v>0.42</v>
      </c>
      <c r="D52" s="11">
        <f t="shared" si="0"/>
        <v>14866.74</v>
      </c>
      <c r="E52" s="11">
        <f t="shared" si="4"/>
        <v>2527.3458</v>
      </c>
      <c r="F52" s="11">
        <f t="shared" si="1"/>
        <v>5649.3612</v>
      </c>
      <c r="G52" s="11">
        <f t="shared" si="2"/>
        <v>7433.37</v>
      </c>
      <c r="H52" s="10">
        <f t="shared" si="3"/>
        <v>743.337</v>
      </c>
    </row>
    <row r="53" ht="12.5" spans="1:8">
      <c r="A53" s="9" t="s">
        <v>59</v>
      </c>
      <c r="B53" s="10">
        <v>35238</v>
      </c>
      <c r="C53" s="10">
        <v>0.42</v>
      </c>
      <c r="D53" s="11">
        <f t="shared" si="0"/>
        <v>14799.96</v>
      </c>
      <c r="E53" s="11">
        <f t="shared" si="4"/>
        <v>2515.9932</v>
      </c>
      <c r="F53" s="11">
        <f t="shared" si="1"/>
        <v>5623.9848</v>
      </c>
      <c r="G53" s="11">
        <f t="shared" si="2"/>
        <v>7399.98</v>
      </c>
      <c r="H53" s="10">
        <f t="shared" si="3"/>
        <v>739.998</v>
      </c>
    </row>
    <row r="54" ht="12.5" spans="1:8">
      <c r="A54" s="9" t="s">
        <v>60</v>
      </c>
      <c r="B54" s="10">
        <v>34250</v>
      </c>
      <c r="C54" s="10">
        <v>0.42</v>
      </c>
      <c r="D54" s="11">
        <f t="shared" si="0"/>
        <v>14385</v>
      </c>
      <c r="E54" s="11">
        <f t="shared" si="4"/>
        <v>2445.45</v>
      </c>
      <c r="F54" s="11">
        <f t="shared" si="1"/>
        <v>5466.3</v>
      </c>
      <c r="G54" s="11">
        <f t="shared" si="2"/>
        <v>7192.5</v>
      </c>
      <c r="H54" s="10">
        <f t="shared" si="3"/>
        <v>719.25</v>
      </c>
    </row>
    <row r="55" ht="12.5" spans="1:8">
      <c r="A55" s="13" t="s">
        <v>61</v>
      </c>
      <c r="B55" s="14">
        <v>77756</v>
      </c>
      <c r="C55" s="14">
        <v>0.42</v>
      </c>
      <c r="D55" s="15">
        <f t="shared" si="0"/>
        <v>32657.52</v>
      </c>
      <c r="E55" s="15">
        <f t="shared" si="4"/>
        <v>5551.7784</v>
      </c>
      <c r="F55" s="15">
        <f t="shared" si="1"/>
        <v>12409.8576</v>
      </c>
      <c r="G55" s="15">
        <f t="shared" si="2"/>
        <v>16328.76</v>
      </c>
      <c r="H55" s="14">
        <f t="shared" si="3"/>
        <v>1632.876</v>
      </c>
    </row>
    <row r="56" ht="12.5" spans="1:8">
      <c r="A56" s="9" t="s">
        <v>62</v>
      </c>
      <c r="B56" s="10">
        <v>9396</v>
      </c>
      <c r="C56" s="10">
        <v>0.419999999999999</v>
      </c>
      <c r="D56" s="11">
        <f t="shared" si="0"/>
        <v>3946.31999999999</v>
      </c>
      <c r="E56" s="11">
        <f t="shared" si="4"/>
        <v>670.874399999998</v>
      </c>
      <c r="F56" s="11">
        <f t="shared" si="1"/>
        <v>1499.6016</v>
      </c>
      <c r="G56" s="11">
        <f t="shared" si="2"/>
        <v>1973.16</v>
      </c>
      <c r="H56" s="10">
        <f t="shared" si="3"/>
        <v>197.316</v>
      </c>
    </row>
    <row r="57" ht="12.5" spans="1:8">
      <c r="A57" s="9" t="s">
        <v>63</v>
      </c>
      <c r="B57" s="10">
        <v>23468</v>
      </c>
      <c r="C57" s="10">
        <v>0.419999999999999</v>
      </c>
      <c r="D57" s="11">
        <f t="shared" si="0"/>
        <v>9856.55999999998</v>
      </c>
      <c r="E57" s="11">
        <f t="shared" si="4"/>
        <v>1675.6152</v>
      </c>
      <c r="F57" s="11">
        <f t="shared" si="1"/>
        <v>3745.49279999999</v>
      </c>
      <c r="G57" s="11">
        <f t="shared" si="2"/>
        <v>4928.27999999999</v>
      </c>
      <c r="H57" s="10">
        <f t="shared" si="3"/>
        <v>492.827999999999</v>
      </c>
    </row>
    <row r="58" ht="12.5" spans="1:8">
      <c r="A58" s="9" t="s">
        <v>64</v>
      </c>
      <c r="B58" s="10">
        <v>6206</v>
      </c>
      <c r="C58" s="10">
        <v>0.419999999999999</v>
      </c>
      <c r="D58" s="11">
        <f t="shared" si="0"/>
        <v>2606.51999999999</v>
      </c>
      <c r="E58" s="11">
        <f t="shared" si="4"/>
        <v>443.108399999999</v>
      </c>
      <c r="F58" s="11">
        <f t="shared" si="1"/>
        <v>990.477599999998</v>
      </c>
      <c r="G58" s="11">
        <f t="shared" si="2"/>
        <v>1303.26</v>
      </c>
      <c r="H58" s="10">
        <f t="shared" si="3"/>
        <v>130.326</v>
      </c>
    </row>
    <row r="59" ht="12.5" spans="1:8">
      <c r="A59" s="9" t="s">
        <v>65</v>
      </c>
      <c r="B59" s="10">
        <v>2364</v>
      </c>
      <c r="C59" s="10">
        <v>0.419999999999999</v>
      </c>
      <c r="D59" s="11">
        <f t="shared" si="0"/>
        <v>992.879999999998</v>
      </c>
      <c r="E59" s="11">
        <f t="shared" si="4"/>
        <v>168.7896</v>
      </c>
      <c r="F59" s="11">
        <f t="shared" si="1"/>
        <v>377.294399999999</v>
      </c>
      <c r="G59" s="11">
        <f t="shared" si="2"/>
        <v>496.439999999999</v>
      </c>
      <c r="H59" s="10">
        <f t="shared" si="3"/>
        <v>49.6439999999999</v>
      </c>
    </row>
    <row r="60" ht="12.5" spans="1:8">
      <c r="A60" s="9" t="s">
        <v>66</v>
      </c>
      <c r="B60" s="10">
        <v>28974</v>
      </c>
      <c r="C60" s="10">
        <v>0.419999999999999</v>
      </c>
      <c r="D60" s="11">
        <f t="shared" si="0"/>
        <v>12169.08</v>
      </c>
      <c r="E60" s="11">
        <f t="shared" si="4"/>
        <v>2068.7436</v>
      </c>
      <c r="F60" s="11">
        <f t="shared" si="1"/>
        <v>4624.25039999999</v>
      </c>
      <c r="G60" s="11">
        <f t="shared" si="2"/>
        <v>6084.53999999999</v>
      </c>
      <c r="H60" s="10">
        <f t="shared" si="3"/>
        <v>608.453999999999</v>
      </c>
    </row>
    <row r="61" ht="12.5" spans="1:8">
      <c r="A61" s="9" t="s">
        <v>67</v>
      </c>
      <c r="B61" s="10">
        <v>17831</v>
      </c>
      <c r="C61" s="10">
        <v>0.419999999999999</v>
      </c>
      <c r="D61" s="11">
        <f t="shared" si="0"/>
        <v>7489.01999999998</v>
      </c>
      <c r="E61" s="11">
        <f t="shared" si="4"/>
        <v>1273.1334</v>
      </c>
      <c r="F61" s="11">
        <f t="shared" si="1"/>
        <v>2845.82759999999</v>
      </c>
      <c r="G61" s="11">
        <f t="shared" si="2"/>
        <v>3744.50999999999</v>
      </c>
      <c r="H61" s="10">
        <f t="shared" si="3"/>
        <v>374.450999999999</v>
      </c>
    </row>
    <row r="62" ht="12.5" spans="1:8">
      <c r="A62" s="9" t="s">
        <v>68</v>
      </c>
      <c r="B62" s="10">
        <v>27521</v>
      </c>
      <c r="C62" s="10">
        <v>0.419999999999999</v>
      </c>
      <c r="D62" s="11">
        <f t="shared" si="0"/>
        <v>11558.82</v>
      </c>
      <c r="E62" s="11">
        <f t="shared" si="4"/>
        <v>1964.9994</v>
      </c>
      <c r="F62" s="11">
        <f t="shared" si="1"/>
        <v>4392.35159999999</v>
      </c>
      <c r="G62" s="11">
        <f t="shared" si="2"/>
        <v>5779.40999999999</v>
      </c>
      <c r="H62" s="10">
        <f t="shared" si="3"/>
        <v>577.940999999999</v>
      </c>
    </row>
    <row r="63" ht="12.5" spans="1:8">
      <c r="A63" s="9" t="s">
        <v>69</v>
      </c>
      <c r="B63" s="10">
        <v>40239</v>
      </c>
      <c r="C63" s="10">
        <v>0.419999999999999</v>
      </c>
      <c r="D63" s="11">
        <f t="shared" si="0"/>
        <v>16900.38</v>
      </c>
      <c r="E63" s="11">
        <f t="shared" si="4"/>
        <v>2873.06459999999</v>
      </c>
      <c r="F63" s="11">
        <f t="shared" si="1"/>
        <v>6422.14439999998</v>
      </c>
      <c r="G63" s="11">
        <f t="shared" si="2"/>
        <v>8450.18999999998</v>
      </c>
      <c r="H63" s="10">
        <f t="shared" si="3"/>
        <v>845.018999999998</v>
      </c>
    </row>
    <row r="64" ht="12.5" spans="1:8">
      <c r="A64" s="9" t="s">
        <v>70</v>
      </c>
      <c r="B64" s="10">
        <v>39234</v>
      </c>
      <c r="C64" s="10">
        <v>0.419999999999999</v>
      </c>
      <c r="D64" s="11">
        <f t="shared" si="0"/>
        <v>16478.28</v>
      </c>
      <c r="E64" s="11">
        <f t="shared" si="4"/>
        <v>2801.30759999999</v>
      </c>
      <c r="F64" s="11">
        <f t="shared" si="1"/>
        <v>6261.74639999998</v>
      </c>
      <c r="G64" s="11">
        <f t="shared" si="2"/>
        <v>8239.13999999998</v>
      </c>
      <c r="H64" s="10">
        <f t="shared" si="3"/>
        <v>823.913999999998</v>
      </c>
    </row>
    <row r="65" ht="12.5" spans="1:8">
      <c r="A65" s="9" t="s">
        <v>71</v>
      </c>
      <c r="B65" s="10">
        <v>31504</v>
      </c>
      <c r="C65" s="10">
        <v>0.419999999999999</v>
      </c>
      <c r="D65" s="11">
        <f t="shared" si="0"/>
        <v>13231.68</v>
      </c>
      <c r="E65" s="11">
        <f t="shared" si="4"/>
        <v>2249.38559999999</v>
      </c>
      <c r="F65" s="11">
        <f t="shared" si="1"/>
        <v>5028.03839999999</v>
      </c>
      <c r="G65" s="11">
        <f t="shared" si="2"/>
        <v>6615.83999999998</v>
      </c>
      <c r="H65" s="10">
        <f t="shared" si="3"/>
        <v>661.583999999998</v>
      </c>
    </row>
    <row r="66" ht="12.5" spans="1:8">
      <c r="A66" s="9" t="s">
        <v>72</v>
      </c>
      <c r="B66" s="10">
        <v>19562</v>
      </c>
      <c r="C66" s="10">
        <v>0.419999999999999</v>
      </c>
      <c r="D66" s="11">
        <f t="shared" si="0"/>
        <v>8216.03999999998</v>
      </c>
      <c r="E66" s="11">
        <f t="shared" si="4"/>
        <v>1396.7268</v>
      </c>
      <c r="F66" s="11">
        <f t="shared" si="1"/>
        <v>3122.09519999999</v>
      </c>
      <c r="G66" s="11">
        <f t="shared" si="2"/>
        <v>4108.01999999999</v>
      </c>
      <c r="H66" s="10">
        <f t="shared" si="3"/>
        <v>410.801999999999</v>
      </c>
    </row>
    <row r="67" ht="12.5" spans="1:8">
      <c r="A67" s="9" t="s">
        <v>73</v>
      </c>
      <c r="B67" s="10">
        <v>23235</v>
      </c>
      <c r="C67" s="10">
        <v>0.419999999999999</v>
      </c>
      <c r="D67" s="11">
        <f t="shared" si="0"/>
        <v>9758.69999999998</v>
      </c>
      <c r="E67" s="11">
        <f t="shared" si="4"/>
        <v>1658.979</v>
      </c>
      <c r="F67" s="11">
        <f t="shared" si="1"/>
        <v>3708.30599999999</v>
      </c>
      <c r="G67" s="11">
        <f t="shared" si="2"/>
        <v>4879.34999999999</v>
      </c>
      <c r="H67" s="10">
        <f t="shared" si="3"/>
        <v>487.934999999999</v>
      </c>
    </row>
    <row r="68" ht="12.5" spans="1:8">
      <c r="A68" s="9" t="s">
        <v>74</v>
      </c>
      <c r="B68" s="10">
        <v>5963</v>
      </c>
      <c r="C68" s="10">
        <v>0.419999999999999</v>
      </c>
      <c r="D68" s="11">
        <f t="shared" si="0"/>
        <v>2504.45999999999</v>
      </c>
      <c r="E68" s="11">
        <f t="shared" si="4"/>
        <v>425.758199999999</v>
      </c>
      <c r="F68" s="11">
        <f t="shared" si="1"/>
        <v>951.694799999998</v>
      </c>
      <c r="G68" s="11">
        <f t="shared" si="2"/>
        <v>1252.23</v>
      </c>
      <c r="H68" s="10">
        <f t="shared" si="3"/>
        <v>125.223</v>
      </c>
    </row>
    <row r="69" ht="12.5" spans="1:8">
      <c r="A69" s="9" t="s">
        <v>75</v>
      </c>
      <c r="B69" s="10">
        <v>6971</v>
      </c>
      <c r="C69" s="10">
        <v>0.419999999999998</v>
      </c>
      <c r="D69" s="11">
        <f t="shared" si="0"/>
        <v>2927.81999999999</v>
      </c>
      <c r="E69" s="11">
        <f t="shared" si="4"/>
        <v>497.729399999998</v>
      </c>
      <c r="F69" s="11">
        <f t="shared" si="1"/>
        <v>1112.57159999999</v>
      </c>
      <c r="G69" s="11">
        <f t="shared" si="2"/>
        <v>1463.90999999999</v>
      </c>
      <c r="H69" s="10">
        <f t="shared" si="3"/>
        <v>146.390999999999</v>
      </c>
    </row>
    <row r="70" ht="12.5" spans="1:8">
      <c r="A70" s="9" t="s">
        <v>76</v>
      </c>
      <c r="B70" s="10">
        <v>2410</v>
      </c>
      <c r="C70" s="10">
        <v>0.419999999999998</v>
      </c>
      <c r="D70" s="11">
        <f t="shared" si="0"/>
        <v>1012.2</v>
      </c>
      <c r="E70" s="11">
        <f t="shared" si="4"/>
        <v>172.073999999999</v>
      </c>
      <c r="F70" s="11">
        <f t="shared" si="1"/>
        <v>384.635999999998</v>
      </c>
      <c r="G70" s="11">
        <f t="shared" si="2"/>
        <v>506.099999999998</v>
      </c>
      <c r="H70" s="10">
        <f t="shared" si="3"/>
        <v>50.6099999999998</v>
      </c>
    </row>
    <row r="71" ht="12.5" spans="1:8">
      <c r="A71" s="9" t="s">
        <v>77</v>
      </c>
      <c r="B71" s="10">
        <v>13007</v>
      </c>
      <c r="C71" s="10">
        <v>0.419999999999998</v>
      </c>
      <c r="D71" s="11">
        <f t="shared" si="0"/>
        <v>5462.93999999997</v>
      </c>
      <c r="E71" s="11">
        <f t="shared" si="4"/>
        <v>928.699799999996</v>
      </c>
      <c r="F71" s="11">
        <f t="shared" si="1"/>
        <v>2075.91719999999</v>
      </c>
      <c r="G71" s="11">
        <f t="shared" si="2"/>
        <v>2731.46999999999</v>
      </c>
      <c r="H71" s="10">
        <f t="shared" si="3"/>
        <v>273.146999999999</v>
      </c>
    </row>
    <row r="72" ht="12.5" spans="1:8">
      <c r="A72" s="9" t="s">
        <v>78</v>
      </c>
      <c r="B72" s="10">
        <v>17941</v>
      </c>
      <c r="C72" s="10">
        <v>0.419999999999998</v>
      </c>
      <c r="D72" s="11">
        <f t="shared" si="0"/>
        <v>7535.21999999996</v>
      </c>
      <c r="E72" s="11">
        <f t="shared" si="4"/>
        <v>1280.98739999999</v>
      </c>
      <c r="F72" s="11">
        <f t="shared" si="1"/>
        <v>2863.38359999999</v>
      </c>
      <c r="G72" s="11">
        <f t="shared" si="2"/>
        <v>3767.60999999998</v>
      </c>
      <c r="H72" s="10">
        <f t="shared" si="3"/>
        <v>376.760999999998</v>
      </c>
    </row>
    <row r="73" ht="12.5" spans="1:8">
      <c r="A73" s="9" t="s">
        <v>79</v>
      </c>
      <c r="B73" s="10">
        <v>1428</v>
      </c>
      <c r="C73" s="10">
        <v>0.419999999999998</v>
      </c>
      <c r="D73" s="11">
        <f t="shared" si="0"/>
        <v>599.759999999997</v>
      </c>
      <c r="E73" s="11">
        <f t="shared" si="4"/>
        <v>101.9592</v>
      </c>
      <c r="F73" s="11">
        <f t="shared" si="1"/>
        <v>227.908799999999</v>
      </c>
      <c r="G73" s="11">
        <f t="shared" si="2"/>
        <v>299.879999999999</v>
      </c>
      <c r="H73" s="10">
        <f t="shared" si="3"/>
        <v>29.9879999999999</v>
      </c>
    </row>
    <row r="74" ht="12.5" spans="1:8">
      <c r="A74" s="9" t="s">
        <v>80</v>
      </c>
      <c r="B74" s="10">
        <v>13174</v>
      </c>
      <c r="C74" s="10">
        <v>0.419999999999998</v>
      </c>
      <c r="D74" s="11">
        <f t="shared" si="0"/>
        <v>5533.07999999997</v>
      </c>
      <c r="E74" s="11">
        <f t="shared" si="4"/>
        <v>940.623599999996</v>
      </c>
      <c r="F74" s="11">
        <f t="shared" si="1"/>
        <v>2102.57039999999</v>
      </c>
      <c r="G74" s="11">
        <f t="shared" si="2"/>
        <v>2766.53999999999</v>
      </c>
      <c r="H74" s="10">
        <f t="shared" si="3"/>
        <v>276.653999999999</v>
      </c>
    </row>
    <row r="75" ht="12.5" spans="1:8">
      <c r="A75" s="9" t="s">
        <v>81</v>
      </c>
      <c r="B75" s="10">
        <v>18775</v>
      </c>
      <c r="C75" s="10">
        <v>0.419999999999998</v>
      </c>
      <c r="D75" s="11">
        <f t="shared" si="0"/>
        <v>7885.49999999996</v>
      </c>
      <c r="E75" s="11">
        <f t="shared" si="4"/>
        <v>1340.53499999999</v>
      </c>
      <c r="F75" s="11">
        <f t="shared" si="1"/>
        <v>2996.48999999999</v>
      </c>
      <c r="G75" s="11">
        <f t="shared" si="2"/>
        <v>3942.74999999998</v>
      </c>
      <c r="H75" s="10">
        <f t="shared" si="3"/>
        <v>394.274999999998</v>
      </c>
    </row>
    <row r="76" ht="12.5" spans="1:8">
      <c r="A76" s="9" t="s">
        <v>82</v>
      </c>
      <c r="B76" s="10">
        <v>1642</v>
      </c>
      <c r="C76" s="10">
        <v>0.419999999999998</v>
      </c>
      <c r="D76" s="11">
        <f t="shared" si="0"/>
        <v>689.639999999997</v>
      </c>
      <c r="E76" s="11">
        <f t="shared" si="4"/>
        <v>117.238799999999</v>
      </c>
      <c r="F76" s="11">
        <f t="shared" si="1"/>
        <v>262.063199999999</v>
      </c>
      <c r="G76" s="11">
        <f t="shared" si="2"/>
        <v>344.819999999998</v>
      </c>
      <c r="H76" s="10">
        <f t="shared" si="3"/>
        <v>34.4819999999998</v>
      </c>
    </row>
    <row r="77" ht="12.5" spans="1:8">
      <c r="A77" s="9" t="s">
        <v>83</v>
      </c>
      <c r="B77" s="10">
        <v>24578</v>
      </c>
      <c r="C77" s="10">
        <v>0.419999999999998</v>
      </c>
      <c r="D77" s="11">
        <f t="shared" si="0"/>
        <v>10322.76</v>
      </c>
      <c r="E77" s="11">
        <f t="shared" si="4"/>
        <v>1754.86919999999</v>
      </c>
      <c r="F77" s="11">
        <f t="shared" si="1"/>
        <v>3922.64879999998</v>
      </c>
      <c r="G77" s="11">
        <f t="shared" si="2"/>
        <v>5161.37999999998</v>
      </c>
      <c r="H77" s="10">
        <f t="shared" si="3"/>
        <v>516.137999999998</v>
      </c>
    </row>
    <row r="78" ht="12.5" spans="1:8">
      <c r="A78" s="9" t="s">
        <v>84</v>
      </c>
      <c r="B78" s="10">
        <v>1391</v>
      </c>
      <c r="C78" s="10">
        <v>0.419999999999998</v>
      </c>
      <c r="D78" s="11">
        <f t="shared" si="0"/>
        <v>584.219999999997</v>
      </c>
      <c r="E78" s="11">
        <f t="shared" si="4"/>
        <v>99.3173999999995</v>
      </c>
      <c r="F78" s="11">
        <f t="shared" si="1"/>
        <v>222.003599999999</v>
      </c>
      <c r="G78" s="11">
        <f t="shared" si="2"/>
        <v>292.109999999999</v>
      </c>
      <c r="H78" s="10">
        <f t="shared" si="3"/>
        <v>29.2109999999999</v>
      </c>
    </row>
    <row r="79" ht="12.5" spans="1:8">
      <c r="A79" s="9" t="s">
        <v>85</v>
      </c>
      <c r="B79" s="10">
        <v>2823</v>
      </c>
      <c r="C79" s="10">
        <v>0.419999999999998</v>
      </c>
      <c r="D79" s="11">
        <f t="shared" si="0"/>
        <v>1185.65999999999</v>
      </c>
      <c r="E79" s="11">
        <f t="shared" si="4"/>
        <v>201.562199999999</v>
      </c>
      <c r="F79" s="11">
        <f t="shared" si="1"/>
        <v>450.550799999998</v>
      </c>
      <c r="G79" s="11">
        <f t="shared" si="2"/>
        <v>592.829999999997</v>
      </c>
      <c r="H79" s="10">
        <f t="shared" si="3"/>
        <v>59.2829999999997</v>
      </c>
    </row>
    <row r="80" ht="12.5" spans="1:8">
      <c r="A80" s="9" t="s">
        <v>86</v>
      </c>
      <c r="B80" s="10">
        <v>5621</v>
      </c>
      <c r="C80" s="10">
        <v>0.419999999999998</v>
      </c>
      <c r="D80" s="11">
        <f t="shared" si="0"/>
        <v>2360.81999999999</v>
      </c>
      <c r="E80" s="11">
        <f t="shared" si="4"/>
        <v>401.339399999998</v>
      </c>
      <c r="F80" s="11">
        <f t="shared" si="1"/>
        <v>897.111599999996</v>
      </c>
      <c r="G80" s="11">
        <f t="shared" si="2"/>
        <v>1180.40999999999</v>
      </c>
      <c r="H80" s="10">
        <f t="shared" si="3"/>
        <v>118.040999999999</v>
      </c>
    </row>
    <row r="81" ht="12.5" spans="1:8">
      <c r="A81" s="9" t="s">
        <v>87</v>
      </c>
      <c r="B81" s="10">
        <v>1388</v>
      </c>
      <c r="C81" s="10">
        <v>0.419999999999998</v>
      </c>
      <c r="D81" s="11">
        <f t="shared" si="0"/>
        <v>582.959999999997</v>
      </c>
      <c r="E81" s="11">
        <f t="shared" si="4"/>
        <v>99.1031999999995</v>
      </c>
      <c r="F81" s="11">
        <f t="shared" si="1"/>
        <v>221.524799999999</v>
      </c>
      <c r="G81" s="11">
        <f t="shared" si="2"/>
        <v>291.479999999999</v>
      </c>
      <c r="H81" s="10">
        <f t="shared" si="3"/>
        <v>29.1479999999999</v>
      </c>
    </row>
    <row r="82" ht="12.5" spans="1:8">
      <c r="A82" s="9" t="s">
        <v>88</v>
      </c>
      <c r="B82" s="10">
        <v>2305</v>
      </c>
      <c r="C82" s="10">
        <v>0.419999999999998</v>
      </c>
      <c r="D82" s="11">
        <f t="shared" si="0"/>
        <v>968.099999999995</v>
      </c>
      <c r="E82" s="11">
        <f t="shared" si="4"/>
        <v>164.576999999999</v>
      </c>
      <c r="F82" s="11">
        <f t="shared" si="1"/>
        <v>367.877999999998</v>
      </c>
      <c r="G82" s="11">
        <f>D82*0.35</f>
        <v>338.834999999998</v>
      </c>
      <c r="H82" s="10">
        <f t="shared" si="3"/>
        <v>48.4049999999998</v>
      </c>
    </row>
    <row r="83" ht="13" spans="1:8">
      <c r="A83" s="16" t="s">
        <v>89</v>
      </c>
      <c r="B83" s="17">
        <f>SUM(B3:B82)</f>
        <v>728402</v>
      </c>
      <c r="C83" s="18"/>
      <c r="D83" s="19">
        <f t="shared" ref="D83:G83" si="5">SUM(D3:D82)</f>
        <v>305928.839999999</v>
      </c>
      <c r="E83" s="19">
        <f t="shared" si="5"/>
        <v>51768.0113999999</v>
      </c>
      <c r="F83" s="19">
        <f t="shared" si="5"/>
        <v>116252.9592</v>
      </c>
      <c r="G83" s="19">
        <f t="shared" si="5"/>
        <v>152819.205</v>
      </c>
      <c r="H83" s="17">
        <f t="shared" si="3"/>
        <v>15296.442</v>
      </c>
    </row>
  </sheetData>
  <mergeCells count="5">
    <mergeCell ref="E1:H1"/>
    <mergeCell ref="A1:A2"/>
    <mergeCell ref="B1:B2"/>
    <mergeCell ref="C1:C2"/>
    <mergeCell ref="D1:D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BRGY SWM POP. GENERATION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639552764390</dc:creator>
  <cp:lastModifiedBy>Elin Mae Ibbay</cp:lastModifiedBy>
  <dcterms:created xsi:type="dcterms:W3CDTF">2025-02-10T13:50:00Z</dcterms:created>
  <dcterms:modified xsi:type="dcterms:W3CDTF">2025-03-04T09:11:09Z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9E22EB0C3DE5475E9BB7F9F476DC96F6_12</vt:lpwstr>
  </property>
  <property fmtid="{D5CDD505-2E9C-101B-9397-08002B2CF9AE}" pid="3" name="KSOProductBuildVer">
    <vt:lpwstr>1033-12.2.0.20323</vt:lpwstr>
  </property>
</Properties>
</file>